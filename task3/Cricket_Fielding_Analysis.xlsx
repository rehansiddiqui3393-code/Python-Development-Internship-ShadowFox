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ing Data" sheetId="1" state="visible" r:id="rId3"/>
    <sheet name="Performance Matrix" sheetId="2" state="visible" r:id="rId4"/>
    <sheet name="Weights &amp; 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<sst xmlns="http://schemas.openxmlformats.org/spreadsheetml/2006/main" count="230" uniqueCount="113">
  <si>
    <t xml:space="preserve">Match No.</t>
  </si>
  <si>
    <t xml:space="preserve">Innings</t>
  </si>
  <si>
    <t xml:space="preserve">Team</t>
  </si>
  <si>
    <t xml:space="preserve">Player Name</t>
  </si>
  <si>
    <t xml:space="preserve">BallCount</t>
  </si>
  <si>
    <t xml:space="preserve">Position</t>
  </si>
  <si>
    <t xml:space="preserve">Short Description</t>
  </si>
  <si>
    <t xml:space="preserve">Pick</t>
  </si>
  <si>
    <t xml:space="preserve">Throw</t>
  </si>
  <si>
    <t xml:space="preserve">Runs</t>
  </si>
  <si>
    <t xml:space="preserve">Overcount</t>
  </si>
  <si>
    <t xml:space="preserve">Venue</t>
  </si>
  <si>
    <t xml:space="preserve">SAMPLE-001</t>
  </si>
  <si>
    <t xml:space="preserve">Team A</t>
  </si>
  <si>
    <t xml:space="preserve">Player 1</t>
  </si>
  <si>
    <t xml:space="preserve">Short mid wicket</t>
  </si>
  <si>
    <t xml:space="preserve">Dives and stops hard drive</t>
  </si>
  <si>
    <t xml:space="preserve">Clean Pick</t>
  </si>
  <si>
    <t xml:space="preserve">Sample Stadium, City</t>
  </si>
  <si>
    <t xml:space="preserve">Player 2</t>
  </si>
  <si>
    <t xml:space="preserve">Wicket keeper</t>
  </si>
  <si>
    <t xml:space="preserve">Collects cleanly behind the stumps</t>
  </si>
  <si>
    <t xml:space="preserve">Player 3</t>
  </si>
  <si>
    <t xml:space="preserve">Point</t>
  </si>
  <si>
    <t xml:space="preserve">Stops cut shot and returns accurately</t>
  </si>
  <si>
    <t xml:space="preserve">Good Throw</t>
  </si>
  <si>
    <t xml:space="preserve">Cover</t>
  </si>
  <si>
    <t xml:space="preserve">Fumbles the ball, extra run taken</t>
  </si>
  <si>
    <t xml:space="preserve">Fumble</t>
  </si>
  <si>
    <t xml:space="preserve">Long off</t>
  </si>
  <si>
    <t xml:space="preserve">Takes a high catch near the boundary</t>
  </si>
  <si>
    <t xml:space="preserve">Catch</t>
  </si>
  <si>
    <t xml:space="preserve">Cover point</t>
  </si>
  <si>
    <t xml:space="preserve">Direct hit, batter short of crease</t>
  </si>
  <si>
    <t xml:space="preserve">Run Out</t>
  </si>
  <si>
    <t xml:space="preserve">Mid on</t>
  </si>
  <si>
    <t xml:space="preserve">Clean pick, saves two runs</t>
  </si>
  <si>
    <t xml:space="preserve">Quick stumping, batter out of crease</t>
  </si>
  <si>
    <t xml:space="preserve">Stumping</t>
  </si>
  <si>
    <t xml:space="preserve">Misses the throw at the stumps</t>
  </si>
  <si>
    <t xml:space="preserve">Missed Run Out</t>
  </si>
  <si>
    <t xml:space="preserve">Square leg</t>
  </si>
  <si>
    <t xml:space="preserve">Drops an easy catch</t>
  </si>
  <si>
    <t xml:space="preserve">Dropped Catch</t>
  </si>
  <si>
    <t xml:space="preserve">Mid wicket</t>
  </si>
  <si>
    <t xml:space="preserve">Good throw to the keeper end</t>
  </si>
  <si>
    <t xml:space="preserve">Third man</t>
  </si>
  <si>
    <t xml:space="preserve">Fumble, ball runs to boundary</t>
  </si>
  <si>
    <t xml:space="preserve">Direct hit from cover</t>
  </si>
  <si>
    <t xml:space="preserve">Direct Hit</t>
  </si>
  <si>
    <t xml:space="preserve">Long on</t>
  </si>
  <si>
    <t xml:space="preserve">Clean pick and strong throw</t>
  </si>
  <si>
    <t xml:space="preserve">Dives to save a certain boundary</t>
  </si>
  <si>
    <t xml:space="preserve">Mid off</t>
  </si>
  <si>
    <t xml:space="preserve">Bad throw, overthrow gives 1 run</t>
  </si>
  <si>
    <t xml:space="preserve">Bad Throw</t>
  </si>
  <si>
    <t xml:space="preserve">Misses stumping chance</t>
  </si>
  <si>
    <t xml:space="preserve">Deep square</t>
  </si>
  <si>
    <t xml:space="preserve">Takes a sharp catch</t>
  </si>
  <si>
    <t xml:space="preserve">Clean pick, no run</t>
  </si>
  <si>
    <t xml:space="preserve">Direct hit, batter run out</t>
  </si>
  <si>
    <t xml:space="preserve">Fumbles, batter gets two</t>
  </si>
  <si>
    <t xml:space="preserve">Takes a diving catch</t>
  </si>
  <si>
    <t xml:space="preserve">Fielding Performance Matrix</t>
  </si>
  <si>
    <t xml:space="preserve">Clean Picks (CP)</t>
  </si>
  <si>
    <t xml:space="preserve">Good Throws (GT)</t>
  </si>
  <si>
    <t xml:space="preserve">Catches (C)</t>
  </si>
  <si>
    <t xml:space="preserve">Dropped Catches (DC)</t>
  </si>
  <si>
    <t xml:space="preserve">Stumpings (ST)</t>
  </si>
  <si>
    <t xml:space="preserve">Run Outs (RO)</t>
  </si>
  <si>
    <t xml:space="preserve">Missed Run Outs (MRO)</t>
  </si>
  <si>
    <t xml:space="preserve">Direct Hits (DH)</t>
  </si>
  <si>
    <t xml:space="preserve">Runs Saved (RS)</t>
  </si>
  <si>
    <t xml:space="preserve">Performance Score (PS)</t>
  </si>
  <si>
    <t xml:space="preserve">PS = (CP x WCP) + (GT x WGT) + (C x WC) + (DC x WDC) + (ST x WST) + (RO x WRO) + (MRO x WMRO) + (DH x WDH) + RS</t>
  </si>
  <si>
    <t xml:space="preserve">Weights are read from the 'Weights &amp; Legend' sheet.</t>
  </si>
  <si>
    <t xml:space="preserve">Scoring weights (from the task formula)</t>
  </si>
  <si>
    <t xml:space="preserve">Metric</t>
  </si>
  <si>
    <t xml:space="preserve">Short</t>
  </si>
  <si>
    <t xml:space="preserve">Weight</t>
  </si>
  <si>
    <t xml:space="preserve">Meaning</t>
  </si>
  <si>
    <t xml:space="preserve">Clean Picks</t>
  </si>
  <si>
    <t xml:space="preserve">CP</t>
  </si>
  <si>
    <t xml:space="preserve">Clean pick = +1</t>
  </si>
  <si>
    <t xml:space="preserve">Good Throws</t>
  </si>
  <si>
    <t xml:space="preserve">GT</t>
  </si>
  <si>
    <t xml:space="preserve">Good throw = +1</t>
  </si>
  <si>
    <t xml:space="preserve">Catches</t>
  </si>
  <si>
    <t xml:space="preserve">C</t>
  </si>
  <si>
    <t xml:space="preserve">Catch = +3</t>
  </si>
  <si>
    <t xml:space="preserve">Dropped Catches</t>
  </si>
  <si>
    <t xml:space="preserve">DC</t>
  </si>
  <si>
    <t xml:space="preserve">Dropped catch = -3</t>
  </si>
  <si>
    <t xml:space="preserve">Stumpings</t>
  </si>
  <si>
    <t xml:space="preserve">ST</t>
  </si>
  <si>
    <t xml:space="preserve">Stumping = +3</t>
  </si>
  <si>
    <t xml:space="preserve">Run Outs</t>
  </si>
  <si>
    <t xml:space="preserve">RO</t>
  </si>
  <si>
    <t xml:space="preserve">Run out = +3</t>
  </si>
  <si>
    <t xml:space="preserve">Missed Run Outs</t>
  </si>
  <si>
    <t xml:space="preserve">MRO</t>
  </si>
  <si>
    <t xml:space="preserve">Missed run out = -2</t>
  </si>
  <si>
    <t xml:space="preserve">Direct Hits</t>
  </si>
  <si>
    <t xml:space="preserve">DH</t>
  </si>
  <si>
    <t xml:space="preserve">Direct hit = +2</t>
  </si>
  <si>
    <t xml:space="preserve">Runs Saved (RS) is added to the score as it is (+ saved, - conceded).</t>
  </si>
  <si>
    <t xml:space="preserve">How to use this workbook</t>
  </si>
  <si>
    <t xml:space="preserve">1. Enter one row per fielding action on the 'Fielding Data' sheet (blue text = input cells).</t>
  </si>
  <si>
    <t xml:space="preserve">2. Pick values: Clean Pick, Fumble, Catch, Dropped Catch. Throw values: Good Throw, Bad Throw, Run Out, Missed Run Out, Stumping, Direct Hit.</t>
  </si>
  <si>
    <t xml:space="preserve">3. Runs: positive = runs saved, negative = runs conceded. Overcount is calculated automatically from BallCount.</t>
  </si>
  <si>
    <t xml:space="preserve">4. Type the three player names in column A of 'Performance Matrix'. Counts and the Performance Score update automatically.</t>
  </si>
  <si>
    <t xml:space="preserve">5. Weights above can be changed and the scores will recalculate.</t>
  </si>
  <si>
    <t xml:space="preserve">IMPORTANT: the rows currently in 'Fielding Data' are ILLUSTRATIVE SAMPLE entries (Match SAMPLE-001, Player 1-3). Replace them with real match data before submitting.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</si>
</sst>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B2E83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4B2E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Performance Score by Player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'Performance Matrix'!K3</c:f>
              <c:strCache>
                <c:ptCount val="1"/>
                <c:pt idx="0">
                  <c:v>Performance Score (PS)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'Performance Matrix'!$A$4:$A$6</c:f>
              <c:strCache>
                <c:ptCount val="3"/>
                <c:pt idx="0">
                  <c:v>Player 1</c:v>
                </c:pt>
                <c:pt idx="1">
                  <c:v>Player 2</c:v>
                </c:pt>
                <c:pt idx="2">
                  <c:v>Player 3</c:v>
                </c:pt>
              </c:strCache>
            </c:strRef>
          </c:cat>
          <c:val>
            <c:numRef>
              <c:f>'Performance Matrix'!$K$4:$K$6</c:f>
              <c:numCache>
                <c:formatCode>General</c:formatCode>
                <c:ptCount val="3"/>
                <c:pt idx="0">
                  <c:v>7</c:v>
                </c:pt>
                <c:pt idx="1">
                  <c:v>17</c:v>
                </c:pt>
                <c:pt idx="2">
                  <c:v>9</c:v>
                </c:pt>
              </c:numCache>
            </c:numRef>
          </c:val>
        </c:ser>
        <c:gapWidth val="150"/>
        <c:overlap val="0"/>
        <c:axId val="28576484"/>
        <c:axId val="90740604"/>
      </c:barChart>
      <c:catAx>
        <c:axId val="285764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Player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40604"/>
        <c:crosses val="autoZero"/>
        <c:auto val="1"/>
        <c:lblAlgn val="ctr"/>
        <c:lblOffset val="100"/>
        <c:noMultiLvlLbl val="0"/>
      </c:catAx>
      <c:valAx>
        <c:axId val="907406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Performance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764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176040</xdr:rowOff>
    </xdr:from>
    <xdr:to>
      <xdr:col>4</xdr:col>
      <xdr:colOff>951480</xdr:colOff>
      <xdr:row>24</xdr:row>
      <xdr:rowOff>18000</xdr:rowOff>
    </xdr:to>
    <xdr:graphicFrame>
      <xdr:nvGraphicFramePr>
        <xdr:cNvPr id="0" name="Chart 1"/>
        <xdr:cNvGraphicFramePr/>
      </xdr:nvGraphicFramePr>
      <xdr:xfrm>
        <a:off x="0" y="21146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n">
        <v>1</v>
      </c>
      <c r="C2" s="2" t="s">
        <v>13</v>
      </c>
      <c r="D2" s="3" t="s">
        <v>14</v>
      </c>
      <c r="E2" s="2" t="n">
        <v>0.1</v>
      </c>
      <c r="F2" s="3" t="s">
        <v>15</v>
      </c>
      <c r="G2" s="3" t="s">
        <v>16</v>
      </c>
      <c r="H2" s="2" t="s">
        <v>17</v>
      </c>
      <c r="I2" s="2"/>
      <c r="J2" s="2" t="n">
        <v>1</v>
      </c>
      <c r="K2" s="4" t="n">
        <f aca="false">INT(E2)+1</f>
        <v>1</v>
      </c>
      <c r="L2" s="3" t="s">
        <v>18</v>
      </c>
    </row>
    <row r="3" customFormat="false" ht="15" hidden="false" customHeight="false" outlineLevel="0" collapsed="false">
      <c r="A3" s="2" t="s">
        <v>12</v>
      </c>
      <c r="B3" s="2" t="n">
        <v>1</v>
      </c>
      <c r="C3" s="2" t="s">
        <v>13</v>
      </c>
      <c r="D3" s="3" t="s">
        <v>19</v>
      </c>
      <c r="E3" s="2" t="n">
        <v>0.2</v>
      </c>
      <c r="F3" s="3" t="s">
        <v>20</v>
      </c>
      <c r="G3" s="3" t="s">
        <v>21</v>
      </c>
      <c r="H3" s="2" t="s">
        <v>17</v>
      </c>
      <c r="I3" s="2"/>
      <c r="J3" s="2" t="n">
        <v>0</v>
      </c>
      <c r="K3" s="4" t="n">
        <f aca="false">INT(E3)+1</f>
        <v>1</v>
      </c>
      <c r="L3" s="3" t="s">
        <v>18</v>
      </c>
    </row>
    <row r="4" customFormat="false" ht="15" hidden="false" customHeight="false" outlineLevel="0" collapsed="false">
      <c r="A4" s="2" t="s">
        <v>12</v>
      </c>
      <c r="B4" s="2" t="n">
        <v>1</v>
      </c>
      <c r="C4" s="2" t="s">
        <v>13</v>
      </c>
      <c r="D4" s="3" t="s">
        <v>22</v>
      </c>
      <c r="E4" s="2" t="n">
        <v>0.4</v>
      </c>
      <c r="F4" s="3" t="s">
        <v>23</v>
      </c>
      <c r="G4" s="3" t="s">
        <v>24</v>
      </c>
      <c r="H4" s="2" t="s">
        <v>17</v>
      </c>
      <c r="I4" s="2" t="s">
        <v>25</v>
      </c>
      <c r="J4" s="2" t="n">
        <v>1</v>
      </c>
      <c r="K4" s="4" t="n">
        <f aca="false">INT(E4)+1</f>
        <v>1</v>
      </c>
      <c r="L4" s="3" t="s">
        <v>18</v>
      </c>
    </row>
    <row r="5" customFormat="false" ht="15" hidden="false" customHeight="false" outlineLevel="0" collapsed="false">
      <c r="A5" s="2" t="s">
        <v>12</v>
      </c>
      <c r="B5" s="2" t="n">
        <v>1</v>
      </c>
      <c r="C5" s="2" t="s">
        <v>13</v>
      </c>
      <c r="D5" s="3" t="s">
        <v>14</v>
      </c>
      <c r="E5" s="2" t="n">
        <v>0.5</v>
      </c>
      <c r="F5" s="3" t="s">
        <v>26</v>
      </c>
      <c r="G5" s="3" t="s">
        <v>27</v>
      </c>
      <c r="H5" s="2" t="s">
        <v>28</v>
      </c>
      <c r="I5" s="2"/>
      <c r="J5" s="2" t="n">
        <v>-1</v>
      </c>
      <c r="K5" s="4" t="n">
        <f aca="false">INT(E5)+1</f>
        <v>1</v>
      </c>
      <c r="L5" s="3" t="s">
        <v>18</v>
      </c>
    </row>
    <row r="6" customFormat="false" ht="15" hidden="false" customHeight="false" outlineLevel="0" collapsed="false">
      <c r="A6" s="2" t="s">
        <v>12</v>
      </c>
      <c r="B6" s="2" t="n">
        <v>1</v>
      </c>
      <c r="C6" s="2" t="s">
        <v>13</v>
      </c>
      <c r="D6" s="3" t="s">
        <v>19</v>
      </c>
      <c r="E6" s="2" t="n">
        <v>1.1</v>
      </c>
      <c r="F6" s="3" t="s">
        <v>29</v>
      </c>
      <c r="G6" s="3" t="s">
        <v>30</v>
      </c>
      <c r="H6" s="2" t="s">
        <v>31</v>
      </c>
      <c r="I6" s="2"/>
      <c r="J6" s="2" t="n">
        <v>0</v>
      </c>
      <c r="K6" s="4" t="n">
        <f aca="false">INT(E6)+1</f>
        <v>2</v>
      </c>
      <c r="L6" s="3" t="s">
        <v>18</v>
      </c>
    </row>
    <row r="7" customFormat="false" ht="15" hidden="false" customHeight="false" outlineLevel="0" collapsed="false">
      <c r="A7" s="2" t="s">
        <v>12</v>
      </c>
      <c r="B7" s="2" t="n">
        <v>1</v>
      </c>
      <c r="C7" s="2" t="s">
        <v>13</v>
      </c>
      <c r="D7" s="3" t="s">
        <v>22</v>
      </c>
      <c r="E7" s="2" t="n">
        <v>1.3</v>
      </c>
      <c r="F7" s="3" t="s">
        <v>32</v>
      </c>
      <c r="G7" s="3" t="s">
        <v>33</v>
      </c>
      <c r="H7" s="2" t="s">
        <v>17</v>
      </c>
      <c r="I7" s="2" t="s">
        <v>34</v>
      </c>
      <c r="J7" s="2" t="n">
        <v>0</v>
      </c>
      <c r="K7" s="4" t="n">
        <f aca="false">INT(E7)+1</f>
        <v>2</v>
      </c>
      <c r="L7" s="3" t="s">
        <v>18</v>
      </c>
    </row>
    <row r="8" customFormat="false" ht="15" hidden="false" customHeight="false" outlineLevel="0" collapsed="false">
      <c r="A8" s="2" t="s">
        <v>12</v>
      </c>
      <c r="B8" s="2" t="n">
        <v>1</v>
      </c>
      <c r="C8" s="2" t="s">
        <v>13</v>
      </c>
      <c r="D8" s="3" t="s">
        <v>14</v>
      </c>
      <c r="E8" s="2" t="n">
        <v>1.4</v>
      </c>
      <c r="F8" s="3" t="s">
        <v>35</v>
      </c>
      <c r="G8" s="3" t="s">
        <v>36</v>
      </c>
      <c r="H8" s="2" t="s">
        <v>17</v>
      </c>
      <c r="I8" s="2"/>
      <c r="J8" s="2" t="n">
        <v>2</v>
      </c>
      <c r="K8" s="4" t="n">
        <f aca="false">INT(E8)+1</f>
        <v>2</v>
      </c>
      <c r="L8" s="3" t="s">
        <v>18</v>
      </c>
    </row>
    <row r="9" customFormat="false" ht="15" hidden="false" customHeight="false" outlineLevel="0" collapsed="false">
      <c r="A9" s="2" t="s">
        <v>12</v>
      </c>
      <c r="B9" s="2" t="n">
        <v>1</v>
      </c>
      <c r="C9" s="2" t="s">
        <v>13</v>
      </c>
      <c r="D9" s="3" t="s">
        <v>19</v>
      </c>
      <c r="E9" s="2" t="n">
        <v>1.6</v>
      </c>
      <c r="F9" s="3" t="s">
        <v>20</v>
      </c>
      <c r="G9" s="3" t="s">
        <v>37</v>
      </c>
      <c r="H9" s="2" t="s">
        <v>17</v>
      </c>
      <c r="I9" s="2" t="s">
        <v>38</v>
      </c>
      <c r="J9" s="2" t="n">
        <v>0</v>
      </c>
      <c r="K9" s="4" t="n">
        <f aca="false">INT(E9)+1</f>
        <v>2</v>
      </c>
      <c r="L9" s="3" t="s">
        <v>18</v>
      </c>
    </row>
    <row r="10" customFormat="false" ht="15" hidden="false" customHeight="false" outlineLevel="0" collapsed="false">
      <c r="A10" s="2" t="s">
        <v>12</v>
      </c>
      <c r="B10" s="2" t="n">
        <v>1</v>
      </c>
      <c r="C10" s="2" t="s">
        <v>13</v>
      </c>
      <c r="D10" s="3" t="s">
        <v>22</v>
      </c>
      <c r="E10" s="2" t="n">
        <v>2.1</v>
      </c>
      <c r="F10" s="3" t="s">
        <v>23</v>
      </c>
      <c r="G10" s="3" t="s">
        <v>39</v>
      </c>
      <c r="H10" s="2" t="s">
        <v>17</v>
      </c>
      <c r="I10" s="2" t="s">
        <v>40</v>
      </c>
      <c r="J10" s="2" t="n">
        <v>0</v>
      </c>
      <c r="K10" s="4" t="n">
        <f aca="false">INT(E10)+1</f>
        <v>3</v>
      </c>
      <c r="L10" s="3" t="s">
        <v>18</v>
      </c>
    </row>
    <row r="11" customFormat="false" ht="15" hidden="false" customHeight="false" outlineLevel="0" collapsed="false">
      <c r="A11" s="2" t="s">
        <v>12</v>
      </c>
      <c r="B11" s="2" t="n">
        <v>1</v>
      </c>
      <c r="C11" s="2" t="s">
        <v>13</v>
      </c>
      <c r="D11" s="3" t="s">
        <v>14</v>
      </c>
      <c r="E11" s="2" t="n">
        <v>2.2</v>
      </c>
      <c r="F11" s="3" t="s">
        <v>41</v>
      </c>
      <c r="G11" s="3" t="s">
        <v>42</v>
      </c>
      <c r="H11" s="2" t="s">
        <v>43</v>
      </c>
      <c r="I11" s="2"/>
      <c r="J11" s="2" t="n">
        <v>-2</v>
      </c>
      <c r="K11" s="4" t="n">
        <f aca="false">INT(E11)+1</f>
        <v>3</v>
      </c>
      <c r="L11" s="3" t="s">
        <v>18</v>
      </c>
    </row>
    <row r="12" customFormat="false" ht="15" hidden="false" customHeight="false" outlineLevel="0" collapsed="false">
      <c r="A12" s="2" t="s">
        <v>12</v>
      </c>
      <c r="B12" s="2" t="n">
        <v>1</v>
      </c>
      <c r="C12" s="2" t="s">
        <v>13</v>
      </c>
      <c r="D12" s="3" t="s">
        <v>19</v>
      </c>
      <c r="E12" s="2" t="n">
        <v>2.4</v>
      </c>
      <c r="F12" s="3" t="s">
        <v>44</v>
      </c>
      <c r="G12" s="3" t="s">
        <v>45</v>
      </c>
      <c r="H12" s="2" t="s">
        <v>17</v>
      </c>
      <c r="I12" s="2" t="s">
        <v>25</v>
      </c>
      <c r="J12" s="2" t="n">
        <v>1</v>
      </c>
      <c r="K12" s="4" t="n">
        <f aca="false">INT(E12)+1</f>
        <v>3</v>
      </c>
      <c r="L12" s="3" t="s">
        <v>18</v>
      </c>
    </row>
    <row r="13" customFormat="false" ht="15" hidden="false" customHeight="false" outlineLevel="0" collapsed="false">
      <c r="A13" s="2" t="s">
        <v>12</v>
      </c>
      <c r="B13" s="2" t="n">
        <v>1</v>
      </c>
      <c r="C13" s="2" t="s">
        <v>13</v>
      </c>
      <c r="D13" s="3" t="s">
        <v>22</v>
      </c>
      <c r="E13" s="2" t="n">
        <v>2.5</v>
      </c>
      <c r="F13" s="3" t="s">
        <v>46</v>
      </c>
      <c r="G13" s="3" t="s">
        <v>47</v>
      </c>
      <c r="H13" s="2" t="s">
        <v>28</v>
      </c>
      <c r="I13" s="2"/>
      <c r="J13" s="2" t="n">
        <v>-3</v>
      </c>
      <c r="K13" s="4" t="n">
        <f aca="false">INT(E13)+1</f>
        <v>3</v>
      </c>
      <c r="L13" s="3" t="s">
        <v>18</v>
      </c>
    </row>
    <row r="14" customFormat="false" ht="15" hidden="false" customHeight="false" outlineLevel="0" collapsed="false">
      <c r="A14" s="2" t="s">
        <v>12</v>
      </c>
      <c r="B14" s="2" t="n">
        <v>1</v>
      </c>
      <c r="C14" s="2" t="s">
        <v>13</v>
      </c>
      <c r="D14" s="3" t="s">
        <v>14</v>
      </c>
      <c r="E14" s="2" t="n">
        <v>3.1</v>
      </c>
      <c r="F14" s="3" t="s">
        <v>26</v>
      </c>
      <c r="G14" s="3" t="s">
        <v>48</v>
      </c>
      <c r="H14" s="2" t="s">
        <v>17</v>
      </c>
      <c r="I14" s="2" t="s">
        <v>49</v>
      </c>
      <c r="J14" s="2" t="n">
        <v>1</v>
      </c>
      <c r="K14" s="4" t="n">
        <f aca="false">INT(E14)+1</f>
        <v>4</v>
      </c>
      <c r="L14" s="3" t="s">
        <v>18</v>
      </c>
    </row>
    <row r="15" customFormat="false" ht="15" hidden="false" customHeight="false" outlineLevel="0" collapsed="false">
      <c r="A15" s="2" t="s">
        <v>12</v>
      </c>
      <c r="B15" s="2" t="n">
        <v>1</v>
      </c>
      <c r="C15" s="2" t="s">
        <v>13</v>
      </c>
      <c r="D15" s="3" t="s">
        <v>19</v>
      </c>
      <c r="E15" s="2" t="n">
        <v>3.2</v>
      </c>
      <c r="F15" s="3" t="s">
        <v>50</v>
      </c>
      <c r="G15" s="3" t="s">
        <v>51</v>
      </c>
      <c r="H15" s="2" t="s">
        <v>17</v>
      </c>
      <c r="I15" s="2" t="s">
        <v>25</v>
      </c>
      <c r="J15" s="2" t="n">
        <v>1</v>
      </c>
      <c r="K15" s="4" t="n">
        <f aca="false">INT(E15)+1</f>
        <v>4</v>
      </c>
      <c r="L15" s="3" t="s">
        <v>18</v>
      </c>
    </row>
    <row r="16" customFormat="false" ht="15" hidden="false" customHeight="false" outlineLevel="0" collapsed="false">
      <c r="A16" s="2" t="s">
        <v>12</v>
      </c>
      <c r="B16" s="2" t="n">
        <v>1</v>
      </c>
      <c r="C16" s="2" t="s">
        <v>13</v>
      </c>
      <c r="D16" s="3" t="s">
        <v>22</v>
      </c>
      <c r="E16" s="2" t="n">
        <v>3.4</v>
      </c>
      <c r="F16" s="3" t="s">
        <v>23</v>
      </c>
      <c r="G16" s="3" t="s">
        <v>52</v>
      </c>
      <c r="H16" s="2" t="s">
        <v>17</v>
      </c>
      <c r="I16" s="2"/>
      <c r="J16" s="2" t="n">
        <v>3</v>
      </c>
      <c r="K16" s="4" t="n">
        <f aca="false">INT(E16)+1</f>
        <v>4</v>
      </c>
      <c r="L16" s="3" t="s">
        <v>18</v>
      </c>
    </row>
    <row r="17" customFormat="false" ht="15" hidden="false" customHeight="false" outlineLevel="0" collapsed="false">
      <c r="A17" s="2" t="s">
        <v>12</v>
      </c>
      <c r="B17" s="2" t="n">
        <v>1</v>
      </c>
      <c r="C17" s="2" t="s">
        <v>13</v>
      </c>
      <c r="D17" s="3" t="s">
        <v>14</v>
      </c>
      <c r="E17" s="2" t="n">
        <v>3.6</v>
      </c>
      <c r="F17" s="3" t="s">
        <v>53</v>
      </c>
      <c r="G17" s="3" t="s">
        <v>54</v>
      </c>
      <c r="H17" s="2" t="s">
        <v>17</v>
      </c>
      <c r="I17" s="2" t="s">
        <v>55</v>
      </c>
      <c r="J17" s="2" t="n">
        <v>-1</v>
      </c>
      <c r="K17" s="4" t="n">
        <f aca="false">INT(E17)+1</f>
        <v>4</v>
      </c>
      <c r="L17" s="3" t="s">
        <v>18</v>
      </c>
    </row>
    <row r="18" customFormat="false" ht="15" hidden="false" customHeight="false" outlineLevel="0" collapsed="false">
      <c r="A18" s="2" t="s">
        <v>12</v>
      </c>
      <c r="B18" s="2" t="n">
        <v>1</v>
      </c>
      <c r="C18" s="2" t="s">
        <v>13</v>
      </c>
      <c r="D18" s="3" t="s">
        <v>19</v>
      </c>
      <c r="E18" s="2" t="n">
        <v>4.1</v>
      </c>
      <c r="F18" s="3" t="s">
        <v>20</v>
      </c>
      <c r="G18" s="3" t="s">
        <v>56</v>
      </c>
      <c r="H18" s="2" t="s">
        <v>17</v>
      </c>
      <c r="I18" s="2" t="s">
        <v>40</v>
      </c>
      <c r="J18" s="2" t="n">
        <v>0</v>
      </c>
      <c r="K18" s="4" t="n">
        <f aca="false">INT(E18)+1</f>
        <v>5</v>
      </c>
      <c r="L18" s="3" t="s">
        <v>18</v>
      </c>
    </row>
    <row r="19" customFormat="false" ht="15" hidden="false" customHeight="false" outlineLevel="0" collapsed="false">
      <c r="A19" s="2" t="s">
        <v>12</v>
      </c>
      <c r="B19" s="2" t="n">
        <v>1</v>
      </c>
      <c r="C19" s="2" t="s">
        <v>13</v>
      </c>
      <c r="D19" s="3" t="s">
        <v>22</v>
      </c>
      <c r="E19" s="2" t="n">
        <v>4.3</v>
      </c>
      <c r="F19" s="3" t="s">
        <v>57</v>
      </c>
      <c r="G19" s="3" t="s">
        <v>58</v>
      </c>
      <c r="H19" s="2" t="s">
        <v>31</v>
      </c>
      <c r="I19" s="2"/>
      <c r="J19" s="2" t="n">
        <v>0</v>
      </c>
      <c r="K19" s="4" t="n">
        <f aca="false">INT(E19)+1</f>
        <v>5</v>
      </c>
      <c r="L19" s="3" t="s">
        <v>18</v>
      </c>
    </row>
    <row r="20" customFormat="false" ht="15" hidden="false" customHeight="false" outlineLevel="0" collapsed="false">
      <c r="A20" s="2" t="s">
        <v>12</v>
      </c>
      <c r="B20" s="2" t="n">
        <v>1</v>
      </c>
      <c r="C20" s="2" t="s">
        <v>13</v>
      </c>
      <c r="D20" s="3" t="s">
        <v>14</v>
      </c>
      <c r="E20" s="2" t="n">
        <v>4.5</v>
      </c>
      <c r="F20" s="3" t="s">
        <v>15</v>
      </c>
      <c r="G20" s="3" t="s">
        <v>59</v>
      </c>
      <c r="H20" s="2" t="s">
        <v>17</v>
      </c>
      <c r="I20" s="2"/>
      <c r="J20" s="2" t="n">
        <v>0</v>
      </c>
      <c r="K20" s="4" t="n">
        <f aca="false">INT(E20)+1</f>
        <v>5</v>
      </c>
      <c r="L20" s="3" t="s">
        <v>18</v>
      </c>
    </row>
    <row r="21" customFormat="false" ht="15" hidden="false" customHeight="false" outlineLevel="0" collapsed="false">
      <c r="A21" s="2" t="s">
        <v>12</v>
      </c>
      <c r="B21" s="2" t="n">
        <v>1</v>
      </c>
      <c r="C21" s="2" t="s">
        <v>13</v>
      </c>
      <c r="D21" s="3" t="s">
        <v>19</v>
      </c>
      <c r="E21" s="2" t="n">
        <v>5.2</v>
      </c>
      <c r="F21" s="3" t="s">
        <v>26</v>
      </c>
      <c r="G21" s="3" t="s">
        <v>60</v>
      </c>
      <c r="H21" s="2" t="s">
        <v>17</v>
      </c>
      <c r="I21" s="2" t="s">
        <v>49</v>
      </c>
      <c r="J21" s="2" t="n">
        <v>1</v>
      </c>
      <c r="K21" s="4" t="n">
        <f aca="false">INT(E21)+1</f>
        <v>6</v>
      </c>
      <c r="L21" s="3" t="s">
        <v>18</v>
      </c>
    </row>
    <row r="22" customFormat="false" ht="15" hidden="false" customHeight="false" outlineLevel="0" collapsed="false">
      <c r="A22" s="2" t="s">
        <v>12</v>
      </c>
      <c r="B22" s="2" t="n">
        <v>1</v>
      </c>
      <c r="C22" s="2" t="s">
        <v>13</v>
      </c>
      <c r="D22" s="3" t="s">
        <v>22</v>
      </c>
      <c r="E22" s="2" t="n">
        <v>5.4</v>
      </c>
      <c r="F22" s="3" t="s">
        <v>29</v>
      </c>
      <c r="G22" s="3" t="s">
        <v>61</v>
      </c>
      <c r="H22" s="2" t="s">
        <v>28</v>
      </c>
      <c r="I22" s="2"/>
      <c r="J22" s="2" t="n">
        <v>-1</v>
      </c>
      <c r="K22" s="4" t="n">
        <f aca="false">INT(E22)+1</f>
        <v>6</v>
      </c>
      <c r="L22" s="3" t="s">
        <v>18</v>
      </c>
    </row>
    <row r="23" customFormat="false" ht="15" hidden="false" customHeight="false" outlineLevel="0" collapsed="false">
      <c r="A23" s="2" t="s">
        <v>12</v>
      </c>
      <c r="B23" s="2" t="n">
        <v>1</v>
      </c>
      <c r="C23" s="2" t="s">
        <v>13</v>
      </c>
      <c r="D23" s="3" t="s">
        <v>14</v>
      </c>
      <c r="E23" s="2" t="n">
        <v>5.6</v>
      </c>
      <c r="F23" s="3" t="s">
        <v>23</v>
      </c>
      <c r="G23" s="3" t="s">
        <v>62</v>
      </c>
      <c r="H23" s="2" t="s">
        <v>31</v>
      </c>
      <c r="I23" s="2"/>
      <c r="J23" s="2" t="n">
        <v>0</v>
      </c>
      <c r="K23" s="4" t="n">
        <f aca="false">INT(E23)+1</f>
        <v>6</v>
      </c>
      <c r="L23" s="3" t="s">
        <v>18</v>
      </c>
    </row>
  </sheetData>
  <dataValidations count="2">
    <dataValidation allowBlank="true" errorStyle="stop" operator="between" showDropDown="false" showErrorMessage="false" showInputMessage="false" sqref="H2:H500" type="list">
      <formula1>"Clean Pick,Fumble,Catch,Dropped Catch"</formula1>
      <formula2>0</formula2>
    </dataValidation>
    <dataValidation allowBlank="true" errorStyle="stop" operator="between" showDropDown="false" showErrorMessage="false" showInputMessage="false" sqref="I2:I500" type="list">
      <formula1>"Good Throw,Bad Throw,Run Out,Missed Run Out,Stumping,Direct Hit"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1" min="2" style="0" width="14"/>
  </cols>
  <sheetData>
    <row r="1" customFormat="false" ht="16.15" hidden="false" customHeight="false" outlineLevel="0" collapsed="false">
      <c r="A1" s="5" t="s">
        <v>63</v>
      </c>
    </row>
    <row r="3" customFormat="false" ht="31.5" hidden="false" customHeight="true" outlineLevel="0" collapsed="false">
      <c r="A3" s="1" t="s">
        <v>3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H3" s="1" t="s">
        <v>70</v>
      </c>
      <c r="I3" s="1" t="s">
        <v>71</v>
      </c>
      <c r="J3" s="1" t="s">
        <v>72</v>
      </c>
      <c r="K3" s="1" t="s">
        <v>73</v>
      </c>
    </row>
    <row r="4" customFormat="false" ht="15" hidden="false" customHeight="false" outlineLevel="0" collapsed="false">
      <c r="A4" s="6" t="s">
        <v>14</v>
      </c>
      <c r="B4" s="4" t="n">
        <f aca="false">COUNTIFS('Fielding Data'!$D$2:$D$500,$A4,'Fielding Data'!$H$2:$H$500,"Clean Pick")</f>
        <v>5</v>
      </c>
      <c r="C4" s="4" t="n">
        <f aca="false">COUNTIFS('Fielding Data'!$D$2:$D$500,$A4,'Fielding Data'!$I$2:$I$500,"Good Throw")</f>
        <v>0</v>
      </c>
      <c r="D4" s="4" t="n">
        <f aca="false">COUNTIFS('Fielding Data'!$D$2:$D$500,$A4,'Fielding Data'!$H$2:$H$500,"Catch")</f>
        <v>1</v>
      </c>
      <c r="E4" s="4" t="n">
        <f aca="false">COUNTIFS('Fielding Data'!$D$2:$D$500,$A4,'Fielding Data'!$H$2:$H$500,"Dropped Catch")</f>
        <v>1</v>
      </c>
      <c r="F4" s="4" t="n">
        <f aca="false">COUNTIFS('Fielding Data'!$D$2:$D$500,$A4,'Fielding Data'!$I$2:$I$500,"Stumping")</f>
        <v>0</v>
      </c>
      <c r="G4" s="4" t="n">
        <f aca="false">COUNTIFS('Fielding Data'!$D$2:$D$500,$A4,'Fielding Data'!$I$2:$I$500,"Run Out")</f>
        <v>0</v>
      </c>
      <c r="H4" s="4" t="n">
        <f aca="false">COUNTIFS('Fielding Data'!$D$2:$D$500,$A4,'Fielding Data'!$I$2:$I$500,"Missed Run Out")</f>
        <v>0</v>
      </c>
      <c r="I4" s="4" t="n">
        <f aca="false">COUNTIFS('Fielding Data'!$D$2:$D$500,$A4,'Fielding Data'!$I$2:$I$500,"Direct Hit")</f>
        <v>1</v>
      </c>
      <c r="J4" s="4" t="n">
        <f aca="false">SUMIFS('Fielding Data'!$J$2:$J$500,'Fielding Data'!$D$2:$D$500,$A4)</f>
        <v>0</v>
      </c>
      <c r="K4" s="7" t="n">
        <f aca="false">(B4*'Weights &amp; Legend'!$C$4)+(C4*'Weights &amp; Legend'!$C$5)+(D4*'Weights &amp; Legend'!$C$6)+(E4*'Weights &amp; Legend'!$C$7)+(F4*'Weights &amp; Legend'!$C$8)+(G4*'Weights &amp; Legend'!$C$9)+(H4*'Weights &amp; Legend'!$C$10)+(I4*'Weights &amp; Legend'!$C$11)+J4</f>
        <v>7</v>
      </c>
    </row>
    <row r="5" customFormat="false" ht="15" hidden="false" customHeight="false" outlineLevel="0" collapsed="false">
      <c r="A5" s="6" t="s">
        <v>19</v>
      </c>
      <c r="B5" s="4" t="n">
        <f aca="false">COUNTIFS('Fielding Data'!$D$2:$D$500,$A5,'Fielding Data'!$H$2:$H$500,"Clean Pick")</f>
        <v>6</v>
      </c>
      <c r="C5" s="4" t="n">
        <f aca="false">COUNTIFS('Fielding Data'!$D$2:$D$500,$A5,'Fielding Data'!$I$2:$I$500,"Good Throw")</f>
        <v>2</v>
      </c>
      <c r="D5" s="4" t="n">
        <f aca="false">COUNTIFS('Fielding Data'!$D$2:$D$500,$A5,'Fielding Data'!$H$2:$H$500,"Catch")</f>
        <v>1</v>
      </c>
      <c r="E5" s="4" t="n">
        <f aca="false">COUNTIFS('Fielding Data'!$D$2:$D$500,$A5,'Fielding Data'!$H$2:$H$500,"Dropped Catch")</f>
        <v>0</v>
      </c>
      <c r="F5" s="4" t="n">
        <f aca="false">COUNTIFS('Fielding Data'!$D$2:$D$500,$A5,'Fielding Data'!$I$2:$I$500,"Stumping")</f>
        <v>1</v>
      </c>
      <c r="G5" s="4" t="n">
        <f aca="false">COUNTIFS('Fielding Data'!$D$2:$D$500,$A5,'Fielding Data'!$I$2:$I$500,"Run Out")</f>
        <v>0</v>
      </c>
      <c r="H5" s="4" t="n">
        <f aca="false">COUNTIFS('Fielding Data'!$D$2:$D$500,$A5,'Fielding Data'!$I$2:$I$500,"Missed Run Out")</f>
        <v>1</v>
      </c>
      <c r="I5" s="4" t="n">
        <f aca="false">COUNTIFS('Fielding Data'!$D$2:$D$500,$A5,'Fielding Data'!$I$2:$I$500,"Direct Hit")</f>
        <v>1</v>
      </c>
      <c r="J5" s="4" t="n">
        <f aca="false">SUMIFS('Fielding Data'!$J$2:$J$500,'Fielding Data'!$D$2:$D$500,$A5)</f>
        <v>3</v>
      </c>
      <c r="K5" s="7" t="n">
        <f aca="false">(B5*'Weights &amp; Legend'!$C$4)+(C5*'Weights &amp; Legend'!$C$5)+(D5*'Weights &amp; Legend'!$C$6)+(E5*'Weights &amp; Legend'!$C$7)+(F5*'Weights &amp; Legend'!$C$8)+(G5*'Weights &amp; Legend'!$C$9)+(H5*'Weights &amp; Legend'!$C$10)+(I5*'Weights &amp; Legend'!$C$11)+J5</f>
        <v>17</v>
      </c>
    </row>
    <row r="6" customFormat="false" ht="15" hidden="false" customHeight="false" outlineLevel="0" collapsed="false">
      <c r="A6" s="6" t="s">
        <v>22</v>
      </c>
      <c r="B6" s="4" t="n">
        <f aca="false">COUNTIFS('Fielding Data'!$D$2:$D$500,$A6,'Fielding Data'!$H$2:$H$500,"Clean Pick")</f>
        <v>4</v>
      </c>
      <c r="C6" s="4" t="n">
        <f aca="false">COUNTIFS('Fielding Data'!$D$2:$D$500,$A6,'Fielding Data'!$I$2:$I$500,"Good Throw")</f>
        <v>1</v>
      </c>
      <c r="D6" s="4" t="n">
        <f aca="false">COUNTIFS('Fielding Data'!$D$2:$D$500,$A6,'Fielding Data'!$H$2:$H$500,"Catch")</f>
        <v>1</v>
      </c>
      <c r="E6" s="4" t="n">
        <f aca="false">COUNTIFS('Fielding Data'!$D$2:$D$500,$A6,'Fielding Data'!$H$2:$H$500,"Dropped Catch")</f>
        <v>0</v>
      </c>
      <c r="F6" s="4" t="n">
        <f aca="false">COUNTIFS('Fielding Data'!$D$2:$D$500,$A6,'Fielding Data'!$I$2:$I$500,"Stumping")</f>
        <v>0</v>
      </c>
      <c r="G6" s="4" t="n">
        <f aca="false">COUNTIFS('Fielding Data'!$D$2:$D$500,$A6,'Fielding Data'!$I$2:$I$500,"Run Out")</f>
        <v>1</v>
      </c>
      <c r="H6" s="4" t="n">
        <f aca="false">COUNTIFS('Fielding Data'!$D$2:$D$500,$A6,'Fielding Data'!$I$2:$I$500,"Missed Run Out")</f>
        <v>1</v>
      </c>
      <c r="I6" s="4" t="n">
        <f aca="false">COUNTIFS('Fielding Data'!$D$2:$D$500,$A6,'Fielding Data'!$I$2:$I$500,"Direct Hit")</f>
        <v>0</v>
      </c>
      <c r="J6" s="4" t="n">
        <f aca="false">SUMIFS('Fielding Data'!$J$2:$J$500,'Fielding Data'!$D$2:$D$500,$A6)</f>
        <v>0</v>
      </c>
      <c r="K6" s="7" t="n">
        <f aca="false">(B6*'Weights &amp; Legend'!$C$4)+(C6*'Weights &amp; Legend'!$C$5)+(D6*'Weights &amp; Legend'!$C$6)+(E6*'Weights &amp; Legend'!$C$7)+(F6*'Weights &amp; Legend'!$C$8)+(G6*'Weights &amp; Legend'!$C$9)+(H6*'Weights &amp; Legend'!$C$10)+(I6*'Weights &amp; Legend'!$C$11)+J6</f>
        <v>9</v>
      </c>
    </row>
    <row r="8" customFormat="false" ht="15" hidden="false" customHeight="false" outlineLevel="0" collapsed="false">
      <c r="A8" s="8" t="s">
        <v>74</v>
      </c>
    </row>
    <row r="9" customFormat="false" ht="15" hidden="false" customHeight="false" outlineLevel="0" collapsed="false">
      <c r="A9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9" t="s">
        <v>76</v>
      </c>
    </row>
    <row r="3" customFormat="false" ht="15" hidden="false" customHeight="false" outlineLevel="0" collapsed="false">
      <c r="A3" s="10" t="s">
        <v>77</v>
      </c>
      <c r="B3" s="10" t="s">
        <v>78</v>
      </c>
      <c r="C3" s="10" t="s">
        <v>79</v>
      </c>
      <c r="D3" s="10" t="s">
        <v>80</v>
      </c>
    </row>
    <row r="4" customFormat="false" ht="15" hidden="false" customHeight="false" outlineLevel="0" collapsed="false">
      <c r="A4" s="11" t="s">
        <v>81</v>
      </c>
      <c r="B4" s="11" t="s">
        <v>82</v>
      </c>
      <c r="C4" s="6" t="n">
        <v>1</v>
      </c>
      <c r="D4" s="11" t="s">
        <v>83</v>
      </c>
    </row>
    <row r="5" customFormat="false" ht="15" hidden="false" customHeight="false" outlineLevel="0" collapsed="false">
      <c r="A5" s="11" t="s">
        <v>84</v>
      </c>
      <c r="B5" s="11" t="s">
        <v>85</v>
      </c>
      <c r="C5" s="6" t="n">
        <v>1</v>
      </c>
      <c r="D5" s="11" t="s">
        <v>86</v>
      </c>
    </row>
    <row r="6" customFormat="false" ht="15" hidden="false" customHeight="false" outlineLevel="0" collapsed="false">
      <c r="A6" s="11" t="s">
        <v>87</v>
      </c>
      <c r="B6" s="11" t="s">
        <v>88</v>
      </c>
      <c r="C6" s="6" t="n">
        <v>3</v>
      </c>
      <c r="D6" s="11" t="s">
        <v>89</v>
      </c>
    </row>
    <row r="7" customFormat="false" ht="15" hidden="false" customHeight="false" outlineLevel="0" collapsed="false">
      <c r="A7" s="11" t="s">
        <v>90</v>
      </c>
      <c r="B7" s="11" t="s">
        <v>91</v>
      </c>
      <c r="C7" s="6" t="n">
        <v>-3</v>
      </c>
      <c r="D7" s="11" t="s">
        <v>92</v>
      </c>
    </row>
    <row r="8" customFormat="false" ht="15" hidden="false" customHeight="false" outlineLevel="0" collapsed="false">
      <c r="A8" s="11" t="s">
        <v>93</v>
      </c>
      <c r="B8" s="11" t="s">
        <v>94</v>
      </c>
      <c r="C8" s="6" t="n">
        <v>3</v>
      </c>
      <c r="D8" s="11" t="s">
        <v>95</v>
      </c>
    </row>
    <row r="9" customFormat="false" ht="15" hidden="false" customHeight="false" outlineLevel="0" collapsed="false">
      <c r="A9" s="11" t="s">
        <v>96</v>
      </c>
      <c r="B9" s="11" t="s">
        <v>97</v>
      </c>
      <c r="C9" s="6" t="n">
        <v>3</v>
      </c>
      <c r="D9" s="11" t="s">
        <v>98</v>
      </c>
    </row>
    <row r="10" customFormat="false" ht="15" hidden="false" customHeight="false" outlineLevel="0" collapsed="false">
      <c r="A10" s="11" t="s">
        <v>99</v>
      </c>
      <c r="B10" s="11" t="s">
        <v>100</v>
      </c>
      <c r="C10" s="6" t="n">
        <v>-2</v>
      </c>
      <c r="D10" s="11" t="s">
        <v>101</v>
      </c>
    </row>
    <row r="11" customFormat="false" ht="15" hidden="false" customHeight="false" outlineLevel="0" collapsed="false">
      <c r="A11" s="11" t="s">
        <v>102</v>
      </c>
      <c r="B11" s="11" t="s">
        <v>103</v>
      </c>
      <c r="C11" s="6" t="n">
        <v>2</v>
      </c>
      <c r="D11" s="11" t="s">
        <v>104</v>
      </c>
    </row>
    <row r="12" customFormat="false" ht="15" hidden="false" customHeight="false" outlineLevel="0" collapsed="false">
      <c r="A12" s="12" t="s">
        <v>105</v>
      </c>
    </row>
    <row r="14" customFormat="false" ht="15" hidden="false" customHeight="false" outlineLevel="0" collapsed="false">
      <c r="A14" s="9" t="s">
        <v>106</v>
      </c>
    </row>
    <row r="15" customFormat="false" ht="15" hidden="false" customHeight="false" outlineLevel="0" collapsed="false">
      <c r="A15" s="12" t="s">
        <v>107</v>
      </c>
    </row>
    <row r="16" customFormat="false" ht="15" hidden="false" customHeight="false" outlineLevel="0" collapsed="false">
      <c r="A16" s="12" t="s">
        <v>108</v>
      </c>
    </row>
    <row r="17" customFormat="false" ht="15" hidden="false" customHeight="false" outlineLevel="0" collapsed="false">
      <c r="A17" s="12" t="s">
        <v>109</v>
      </c>
    </row>
    <row r="18" customFormat="false" ht="15" hidden="false" customHeight="false" outlineLevel="0" collapsed="false">
      <c r="A18" s="12" t="s">
        <v>110</v>
      </c>
    </row>
    <row r="19" customFormat="false" ht="15" hidden="false" customHeight="false" outlineLevel="0" collapsed="false">
      <c r="A19" s="12" t="s">
        <v>111</v>
      </c>
    </row>
    <row r="21" customFormat="false" ht="15" hidden="false" customHeight="false" outlineLevel="0" collapsed="false">
      <c r="A21" s="1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2026-10-20T07:01:34Z</dcterms:created>
  <dc:creator>openpyxl</dc:creator>
  <dc:description/>
  <dc:language>en-US</dc:language>
  <cp:lastModifiedBy/>
  <dcterms:modified xsi:type="dcterms:W3CDTF">2026-10-20T07:01:37Z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